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P:\Ingenieria\12_P2S_2018\Manual\"/>
    </mc:Choice>
  </mc:AlternateContent>
  <xr:revisionPtr revIDLastSave="0" documentId="13_ncr:1_{F67FED6E-E5FA-4EE2-B56F-EE949F9BE7E2}" xr6:coauthVersionLast="47" xr6:coauthVersionMax="47" xr10:uidLastSave="{00000000-0000-0000-0000-000000000000}"/>
  <bookViews>
    <workbookView xWindow="-120" yWindow="-120" windowWidth="29040" windowHeight="15720" activeTab="2" xr2:uid="{3EA2A1CE-3202-43AF-A12D-F950A664CAEA}"/>
  </bookViews>
  <sheets>
    <sheet name="Plataforma &gt; Equipos Epic" sheetId="1" r:id="rId1"/>
    <sheet name="Equipos Epic &gt; Plataforma" sheetId="2" r:id="rId2"/>
    <sheet name="Calculo de tiempo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3" l="1"/>
  <c r="D7" i="3"/>
  <c r="D6" i="3"/>
  <c r="D5" i="3"/>
  <c r="D8" i="3" l="1"/>
  <c r="D9" i="3" s="1"/>
  <c r="D10" i="3" l="1"/>
</calcChain>
</file>

<file path=xl/sharedStrings.xml><?xml version="1.0" encoding="utf-8"?>
<sst xmlns="http://schemas.openxmlformats.org/spreadsheetml/2006/main" count="228" uniqueCount="109">
  <si>
    <t>MENSAJES PLATAFORMA -&gt; EQUIPOS EPIC</t>
  </si>
  <si>
    <t>DLC</t>
  </si>
  <si>
    <t>Variable</t>
  </si>
  <si>
    <t>Start bit</t>
  </si>
  <si>
    <t>Bit length</t>
  </si>
  <si>
    <t>Scaling</t>
  </si>
  <si>
    <t>Type</t>
  </si>
  <si>
    <t>Description</t>
  </si>
  <si>
    <t>0xEF00</t>
  </si>
  <si>
    <t>1 byte</t>
  </si>
  <si>
    <t>VVVF DC bus enable</t>
  </si>
  <si>
    <t>-</t>
  </si>
  <si>
    <t>unsigned</t>
  </si>
  <si>
    <t>AC inverter and VVVF DC link reset</t>
  </si>
  <si>
    <t>If EPCL receives 1 in this signal, it performs a reset of the DC and AC power. This reset consist in 20 seconds of OFF status in the VVVF DC link and OFF status of the AC inverter. After this time, the EPCL switches on again AC inverter and VVVF DC link (if enabled by other signals)</t>
  </si>
  <si>
    <t>This signal enables the system to provide power to the DC bus connected with the VVVF (Variable Voltage Variable Frequency motor drive).
The VVVF can be switched OFF in order to save energy.</t>
  </si>
  <si>
    <t>Message ID</t>
  </si>
  <si>
    <t>Each time this message is sent, EPCL will answer with a 0xFF00 message.
If the VVVF DC bus is disabled (through CAN or hardware enable) errors are cleared.</t>
  </si>
  <si>
    <t>0xEF01</t>
  </si>
  <si>
    <t>3 bytes</t>
  </si>
  <si>
    <t>Enable measurements messages</t>
  </si>
  <si>
    <t>If this signal is 1, EPCL will send 0xFF01, 0xFF02 and 0xFF03 messages with the period defined in “Measurements message period” signal.
Default value: 0</t>
  </si>
  <si>
    <t>Measurements message period</t>
  </si>
  <si>
    <t>1 ms / s</t>
  </si>
  <si>
    <t>This signal defines the period within the messages 0xFF01, 0xFF02 and 0xFF03 will be sent.
Default value: 250 ms
Minimum value: 50ms
Maximum value: 1000 ms</t>
  </si>
  <si>
    <t>0xEF0E</t>
  </si>
  <si>
    <t>EPCL info request</t>
  </si>
  <si>
    <t>If a 0xEF0E message is received with the number 51 in decimal value, EPCL answers with a 0xFF0E message
If a 0xEF0E message is received with the number 54 in decimal value, EPCL answers with 0xFF01, and 0xFF03 messages</t>
  </si>
  <si>
    <t>0xFF03 message is only available in Lithium Enabled EPCLs</t>
  </si>
  <si>
    <t>MENSAJES  EQUIPOS EPIC -&gt; PLATAFORMA</t>
  </si>
  <si>
    <t>0xFF00</t>
  </si>
  <si>
    <t>7 bytes</t>
  </si>
  <si>
    <t>VVVF status</t>
  </si>
  <si>
    <t>0 = VVVF OFF
1 = VVVF ON with no overcharge
2 = VVVF ON with overcharge (power higher than nominal power)
3 = VVVF ON with overcharge and less than 2 seconds to reduce overcharge under nominal power</t>
  </si>
  <si>
    <t>VVVF hardware enable echo</t>
  </si>
  <si>
    <t>0 = Hardware input between pin 3A and 3B disabled
1 = Hardware input between pin 3A and 3B enabled</t>
  </si>
  <si>
    <t>System status</t>
  </si>
  <si>
    <t>Charger status</t>
  </si>
  <si>
    <t>Battery State of Charge</t>
  </si>
  <si>
    <t>Warning codes</t>
  </si>
  <si>
    <t>Error codes</t>
  </si>
  <si>
    <t>Error value</t>
  </si>
  <si>
    <t>AC inverter remote control status</t>
  </si>
  <si>
    <t>AC charger remote control status</t>
  </si>
  <si>
    <t>1 % / 1</t>
  </si>
  <si>
    <t>signed</t>
  </si>
  <si>
    <t>0 = Hardware input between pin 3A and 3C disabled
1 = Hardware input between pin 3A and 3C enabled</t>
  </si>
  <si>
    <t>0 = Batteries are not being charged from the charger
1 = Batteries are being charged from the charger</t>
  </si>
  <si>
    <t>Battery state of charge from 0 to 100%</t>
  </si>
  <si>
    <t>0 = No warning
1 = Temperature warning. Lift can finish the trip and stop until this warning leaves
2 = Earth fault detected (prioritized)</t>
  </si>
  <si>
    <t>0 = No error
1 = DC link voltage error detected by software
Voltage over 900 V or under 400 V for EPCL XkX 6XX models
Voltage over 480 V or under 200 V for EPCL XkX 3XX models
2 = Battery voltage error detected by software
Voltage over 59.2 V for EPCL XkX X48 models
Voltage over 29.6 V for EPCL XkX X24 models
3 = DC link overcurrent detected by software
Current over 11 A for EPCL 3k5 648 and EPCL 2k2 324 models
Current over 17 A for EPCL 5k5 648 model
4 = Hardware internal error
5 = Overtemperature error (internal temperature over 80ºC)
6 = Error when DC link is switched ON
7 = Earth fault in DC link
8 = Software internal error 2
9 = Reserved
10 = Battery voltage error detected by hardware
Voltage over 59.2 V for EPCL XkX X48 models
Voltage over 29.6 V for EPCL XkX X24 models
11 = DC link overcurrent detected by hardware
Current over 13 A for EPCL 3k5 648 and EPCL 2k2 324 models
Current over 19 A for EPCL 5k5 648 model</t>
  </si>
  <si>
    <t>This signal contains the variable that triggers the error.
When error code = 0, it displays 0
When error code = 1, it displays DC link voltage [1V/1]
When error code = 2, it displays battery voltage [0.1V/1]
When error code = 3, it displays DC link current [0.1A/1]
When error code = 4, it displays 0
When error code = 5, it displays the internal temperature [ºC]
When error code = 6, it displays DC link voltage [1V/1]
When error code = 7, it displays 0
When error code = 8, it displays 0
When error code = 10, it displays battery voltage [0.1V/1]
When error code = 11, it displays DC link current [0.1A/1]</t>
  </si>
  <si>
    <t>0 = AC inverter is disabled
1 = AC inverter is enabled</t>
  </si>
  <si>
    <t>0 = AC charger is disabled
1 = AC charger is enabled</t>
  </si>
  <si>
    <t>This message is sent each time one signal changes, or each time a 0xEF00 message is received</t>
  </si>
  <si>
    <t>0xFF01</t>
  </si>
  <si>
    <t>8 bytes</t>
  </si>
  <si>
    <t>Battery voltage</t>
  </si>
  <si>
    <t>0,1V/1</t>
  </si>
  <si>
    <t>Battery current</t>
  </si>
  <si>
    <t>1A/1</t>
  </si>
  <si>
    <t>DC link power</t>
  </si>
  <si>
    <t>1W/1</t>
  </si>
  <si>
    <t>DC link voltage</t>
  </si>
  <si>
    <t>1V/1</t>
  </si>
  <si>
    <t>Minimum value: 0.0 V
Maximum value: 80.0 V</t>
  </si>
  <si>
    <t>Minimum value: -256 A
Maximum value: +255 A
Positive current charges the battery
Negative current discharges the battery</t>
  </si>
  <si>
    <t>Minimum value: -10000 W
Maximum value: +10000 W
Negative power when the lift consumes energy
Positive power when the lift regenerates energy and charges the batteries</t>
  </si>
  <si>
    <t>Minimum value: 0 V
Maximum value: 1000 V</t>
  </si>
  <si>
    <t>0xFF02</t>
  </si>
  <si>
    <t>4 bytes</t>
  </si>
  <si>
    <t>DC link current</t>
  </si>
  <si>
    <t>AC charger current</t>
  </si>
  <si>
    <t>AC inverter current</t>
  </si>
  <si>
    <t>Solar charger current</t>
  </si>
  <si>
    <t>0,1A/1</t>
  </si>
  <si>
    <t>Minimum value: -12.8 A
Maximum value: +12.7 A
Negative current when the lift consumes energy
Positive current when the lift regenerates energy and charges the batteries</t>
  </si>
  <si>
    <t>Current from the charger to the batteries
Minimum value: 0.0 A
Maximum value: 25.5 A</t>
  </si>
  <si>
    <t>Current from the batteries to the AC inverter.
Minimum value: 0.0 A
Maximum value: 25.5 A</t>
  </si>
  <si>
    <t>Current from the solar charger controller to the batteries
Minimum value: 0.0 A
Maximum value: 25.5 A</t>
  </si>
  <si>
    <t>0xFF03</t>
  </si>
  <si>
    <t>SoH</t>
  </si>
  <si>
    <t>Cycle Count</t>
  </si>
  <si>
    <t>BMS Status</t>
  </si>
  <si>
    <t>Lithium Temperature</t>
  </si>
  <si>
    <t>Pack Voltage</t>
  </si>
  <si>
    <t>Battery Status of Health in %</t>
  </si>
  <si>
    <t>Internal BMS Code Status</t>
  </si>
  <si>
    <t>Lithium Battery Internal Temperature</t>
  </si>
  <si>
    <t>Lithium Battery Cycle Count</t>
  </si>
  <si>
    <t>Lithium Battery Internal Pack Voltage</t>
  </si>
  <si>
    <t>0xFF0E</t>
  </si>
  <si>
    <t>EPCL type</t>
  </si>
  <si>
    <t>Type of EPCL converter
0x0D for EPCL 2k2 324
0x1D for EPCL 3k5 648
0x2D for EPCL 5k5 648
0x3D for EPCL-e3 3k5 648
0x4D for EPCL-e3 5k5 648</t>
  </si>
  <si>
    <t>Battery type</t>
  </si>
  <si>
    <t>Firmware version</t>
  </si>
  <si>
    <t>Serial Number</t>
  </si>
  <si>
    <t>CÁLCULO DE TIEMPOS ALMACENAMIENTO/ENVÍO</t>
  </si>
  <si>
    <t>Total bytes/segundo</t>
  </si>
  <si>
    <t>bytes/segundo</t>
  </si>
  <si>
    <t>Tamaño (bytes)</t>
  </si>
  <si>
    <t>Variable/Mensaje</t>
  </si>
  <si>
    <t>Cadencia (segundos)</t>
  </si>
  <si>
    <t>Total bytes/minuto</t>
  </si>
  <si>
    <t xml:space="preserve"> Esta variable se ha estimado la cadencia por histórico en ascensores, puede ser inferior o superior.</t>
  </si>
  <si>
    <t>Tiempo (s) / 1024 bytes</t>
  </si>
  <si>
    <t>En este mensaje hay variables que no cambian tan rápido. Pueden no enviarse si no han cambiado.</t>
  </si>
  <si>
    <t>&lt;30%</t>
  </si>
  <si>
    <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</si>
</sst>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5"/>
      <color theme="3"/>
      <name val="Aptos Narrow"/>
      <family val="2"/>
      <scheme val="minor"/>
    </font>
    <font>
      <b/>
      <sz val="11"/>
      <color theme="0"/>
      <name val="Aptos Narrow"/>
      <family val="2"/>
      <scheme val="minor"/>
    </font>
    <font>
      <b/>
      <sz val="11"/>
      <color theme="1"/>
      <name val="Aptos Narrow"/>
      <family val="2"/>
      <scheme val="minor"/>
    </font>
    <font>
      <b/>
      <sz val="11"/>
      <color theme="5"/>
      <name val="Aptos Narrow"/>
      <family val="2"/>
      <scheme val="minor"/>
    </font>
  </fonts>
  <fills count="4">
    <fill>
      <patternFill patternType="none"/>
    </fill>
    <fill>
      <patternFill patternType="gray125"/>
    </fill>
    <fill>
      <patternFill patternType="solid">
        <fgColor rgb="FFA5A5A5"/>
      </patternFill>
    </fill>
    <fill>
      <patternFill patternType="solid">
        <fgColor rgb="FFC00000"/>
        <bgColor indexed="64"/>
      </patternFill>
    </fill>
  </fills>
  <borders count="5">
    <border>
      <left/>
      <right/>
      <top/>
      <bottom/>
      <diagonal/>
    </border>
    <border>
      <left/>
      <right/>
      <top/>
      <bottom style="thick">
        <color theme="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diagonal/>
    </border>
  </borders>
  <cellStyleXfs count="3">
    <xf numFmtId="0" fontId="0" fillId="0" borderId="0"/>
    <xf numFmtId="0" fontId="1" fillId="0" borderId="1" applyNumberFormat="0" applyFill="0" applyAlignment="0" applyProtection="0"/>
    <xf numFmtId="0" fontId="2" fillId="2" borderId="2" applyNumberFormat="0" applyAlignment="0" applyProtection="0"/>
  </cellStyleXfs>
  <cellXfs count="21">
    <xf numFmtId="0" fontId="0" fillId="0" borderId="0" xfId="0"/>
    <xf numFmtId="0" fontId="0" fillId="0" borderId="0" xfId="0" applyAlignment="1">
      <alignment wrapText="1"/>
    </xf>
    <xf numFmtId="0" fontId="0" fillId="0" borderId="0" xfId="0" applyAlignment="1">
      <alignment horizontal="center"/>
    </xf>
    <xf numFmtId="0" fontId="2" fillId="2" borderId="2" xfId="2" applyAlignment="1">
      <alignment horizontal="center"/>
    </xf>
    <xf numFmtId="0" fontId="2" fillId="2" borderId="4" xfId="2" applyBorder="1" applyAlignment="1">
      <alignment horizontal="center"/>
    </xf>
    <xf numFmtId="0" fontId="2" fillId="2" borderId="4" xfId="2" applyBorder="1"/>
    <xf numFmtId="0" fontId="0" fillId="0" borderId="3" xfId="0" applyBorder="1" applyAlignment="1">
      <alignment horizontal="center" vertical="center"/>
    </xf>
    <xf numFmtId="0" fontId="0" fillId="0" borderId="3" xfId="0" applyBorder="1" applyAlignment="1">
      <alignment vertical="center" wrapText="1"/>
    </xf>
    <xf numFmtId="0" fontId="0" fillId="0" borderId="3" xfId="0" applyBorder="1" applyAlignment="1">
      <alignment horizontal="center" vertical="center" wrapText="1"/>
    </xf>
    <xf numFmtId="0" fontId="1" fillId="0" borderId="1" xfId="1" applyAlignment="1"/>
    <xf numFmtId="0" fontId="0" fillId="0" borderId="3" xfId="0" applyBorder="1" applyAlignment="1">
      <alignment horizontal="center"/>
    </xf>
    <xf numFmtId="2" fontId="0" fillId="0" borderId="3" xfId="0" applyNumberFormat="1" applyBorder="1" applyAlignment="1">
      <alignment horizontal="center"/>
    </xf>
    <xf numFmtId="2" fontId="3" fillId="0" borderId="3" xfId="0" applyNumberFormat="1" applyFont="1" applyBorder="1" applyAlignment="1">
      <alignment horizontal="center"/>
    </xf>
    <xf numFmtId="0" fontId="3" fillId="0" borderId="3" xfId="0" applyFont="1" applyBorder="1" applyAlignment="1">
      <alignment horizontal="center"/>
    </xf>
    <xf numFmtId="1" fontId="3" fillId="0" borderId="3" xfId="0" applyNumberFormat="1" applyFont="1" applyBorder="1" applyAlignment="1">
      <alignment horizontal="center"/>
    </xf>
    <xf numFmtId="0" fontId="0" fillId="3" borderId="0" xfId="0" applyFill="1"/>
    <xf numFmtId="0" fontId="0" fillId="3" borderId="0" xfId="0" quotePrefix="1" applyFill="1"/>
    <xf numFmtId="0" fontId="4" fillId="0" borderId="3" xfId="0" applyFont="1" applyBorder="1" applyAlignment="1">
      <alignment horizontal="left" wrapText="1"/>
    </xf>
    <xf numFmtId="0" fontId="4" fillId="0" borderId="3" xfId="0" applyFont="1" applyBorder="1" applyAlignment="1">
      <alignment horizontal="left"/>
    </xf>
    <xf numFmtId="0" fontId="0" fillId="0" borderId="3" xfId="0" applyBorder="1" applyAlignment="1">
      <alignment horizontal="center" vertical="center"/>
    </xf>
    <xf numFmtId="0" fontId="1" fillId="0" borderId="1" xfId="1" applyAlignment="1">
      <alignment horizontal="center"/>
    </xf>
  </cellXfs>
  <cellStyles count="3">
    <cellStyle name="Celda de comprobación" xfId="2" builtinId="23"/>
    <cellStyle name="Encabezado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DC135-3BED-4B08-BC24-4B41E770297F}">
  <dimension ref="A1:H17"/>
  <sheetViews>
    <sheetView zoomScaleNormal="100" workbookViewId="0">
      <selection activeCell="A16" sqref="A16:H16"/>
    </sheetView>
  </sheetViews>
  <sheetFormatPr baseColWidth="10" defaultRowHeight="15" x14ac:dyDescent="0.25"/>
  <cols>
    <col min="1" max="1" width="13.5703125" customWidth="1"/>
    <col min="3" max="3" width="24.85546875" customWidth="1"/>
    <col min="8" max="8" width="73.7109375" customWidth="1"/>
  </cols>
  <sheetData>
    <row r="1" spans="1:8" ht="20.25" thickBot="1" x14ac:dyDescent="0.35">
      <c r="A1" s="20" t="s">
        <v>0</v>
      </c>
      <c r="B1" s="20"/>
      <c r="C1" s="20"/>
      <c r="D1" s="20"/>
      <c r="E1" s="20"/>
      <c r="F1" s="20"/>
      <c r="G1" s="20"/>
      <c r="H1" s="20"/>
    </row>
    <row r="2" spans="1:8" ht="16.5" thickTop="1" thickBot="1" x14ac:dyDescent="0.3"/>
    <row r="3" spans="1:8" ht="15.75" thickTop="1" x14ac:dyDescent="0.25">
      <c r="A3" s="4" t="s">
        <v>16</v>
      </c>
      <c r="B3" s="4" t="s">
        <v>1</v>
      </c>
      <c r="C3" s="4" t="s">
        <v>2</v>
      </c>
      <c r="D3" s="4" t="s">
        <v>3</v>
      </c>
      <c r="E3" s="4" t="s">
        <v>4</v>
      </c>
      <c r="F3" s="4" t="s">
        <v>5</v>
      </c>
      <c r="G3" s="4" t="s">
        <v>6</v>
      </c>
      <c r="H3" s="5" t="s">
        <v>7</v>
      </c>
    </row>
    <row r="4" spans="1:8" ht="48.75" customHeight="1" x14ac:dyDescent="0.25">
      <c r="A4" s="19" t="s">
        <v>8</v>
      </c>
      <c r="B4" s="19" t="s">
        <v>9</v>
      </c>
      <c r="C4" s="8" t="s">
        <v>10</v>
      </c>
      <c r="D4" s="6">
        <v>0</v>
      </c>
      <c r="E4" s="6">
        <v>1</v>
      </c>
      <c r="F4" s="6" t="s">
        <v>11</v>
      </c>
      <c r="G4" s="6" t="s">
        <v>12</v>
      </c>
      <c r="H4" s="7" t="s">
        <v>15</v>
      </c>
    </row>
    <row r="5" spans="1:8" ht="60" x14ac:dyDescent="0.25">
      <c r="A5" s="19"/>
      <c r="B5" s="19"/>
      <c r="C5" s="8" t="s">
        <v>13</v>
      </c>
      <c r="D5" s="6">
        <v>1</v>
      </c>
      <c r="E5" s="6">
        <v>1</v>
      </c>
      <c r="F5" s="6" t="s">
        <v>11</v>
      </c>
      <c r="G5" s="6" t="s">
        <v>12</v>
      </c>
      <c r="H5" s="7" t="s">
        <v>14</v>
      </c>
    </row>
    <row r="6" spans="1:8" ht="30" customHeight="1" x14ac:dyDescent="0.25">
      <c r="A6" s="17" t="s">
        <v>17</v>
      </c>
      <c r="B6" s="18"/>
      <c r="C6" s="18"/>
      <c r="D6" s="18"/>
      <c r="E6" s="18"/>
      <c r="F6" s="18"/>
      <c r="G6" s="18"/>
      <c r="H6" s="18"/>
    </row>
    <row r="8" spans="1:8" ht="15.75" thickBot="1" x14ac:dyDescent="0.3"/>
    <row r="9" spans="1:8" ht="15.75" thickTop="1" x14ac:dyDescent="0.25">
      <c r="A9" s="4" t="s">
        <v>16</v>
      </c>
      <c r="B9" s="4" t="s">
        <v>1</v>
      </c>
      <c r="C9" s="4" t="s">
        <v>2</v>
      </c>
      <c r="D9" s="4" t="s">
        <v>3</v>
      </c>
      <c r="E9" s="4" t="s">
        <v>4</v>
      </c>
      <c r="F9" s="4" t="s">
        <v>5</v>
      </c>
      <c r="G9" s="4" t="s">
        <v>6</v>
      </c>
      <c r="H9" s="5" t="s">
        <v>7</v>
      </c>
    </row>
    <row r="10" spans="1:8" ht="45" x14ac:dyDescent="0.25">
      <c r="A10" s="19" t="s">
        <v>18</v>
      </c>
      <c r="B10" s="19" t="s">
        <v>19</v>
      </c>
      <c r="C10" s="8" t="s">
        <v>20</v>
      </c>
      <c r="D10" s="6">
        <v>0</v>
      </c>
      <c r="E10" s="6">
        <v>1</v>
      </c>
      <c r="F10" s="6" t="s">
        <v>11</v>
      </c>
      <c r="G10" s="6" t="s">
        <v>12</v>
      </c>
      <c r="H10" s="7" t="s">
        <v>21</v>
      </c>
    </row>
    <row r="11" spans="1:8" ht="75" x14ac:dyDescent="0.25">
      <c r="A11" s="19"/>
      <c r="B11" s="19"/>
      <c r="C11" s="8" t="s">
        <v>22</v>
      </c>
      <c r="D11" s="6">
        <v>8</v>
      </c>
      <c r="E11" s="6">
        <v>16</v>
      </c>
      <c r="F11" s="6" t="s">
        <v>23</v>
      </c>
      <c r="G11" s="6" t="s">
        <v>12</v>
      </c>
      <c r="H11" s="7" t="s">
        <v>24</v>
      </c>
    </row>
    <row r="12" spans="1:8" x14ac:dyDescent="0.25">
      <c r="A12" s="17" t="s">
        <v>28</v>
      </c>
      <c r="B12" s="18"/>
      <c r="C12" s="18"/>
      <c r="D12" s="18"/>
      <c r="E12" s="18"/>
      <c r="F12" s="18"/>
      <c r="G12" s="18"/>
      <c r="H12" s="18"/>
    </row>
    <row r="14" spans="1:8" ht="15.75" thickBot="1" x14ac:dyDescent="0.3"/>
    <row r="15" spans="1:8" ht="15.75" thickTop="1" x14ac:dyDescent="0.25">
      <c r="A15" s="4" t="s">
        <v>16</v>
      </c>
      <c r="B15" s="4" t="s">
        <v>1</v>
      </c>
      <c r="C15" s="4" t="s">
        <v>2</v>
      </c>
      <c r="D15" s="4" t="s">
        <v>3</v>
      </c>
      <c r="E15" s="4" t="s">
        <v>4</v>
      </c>
      <c r="F15" s="4" t="s">
        <v>5</v>
      </c>
      <c r="G15" s="4" t="s">
        <v>6</v>
      </c>
      <c r="H15" s="5" t="s">
        <v>7</v>
      </c>
    </row>
    <row r="16" spans="1:8" ht="60" x14ac:dyDescent="0.25">
      <c r="A16" s="6" t="s">
        <v>25</v>
      </c>
      <c r="B16" s="6" t="s">
        <v>9</v>
      </c>
      <c r="C16" s="8" t="s">
        <v>26</v>
      </c>
      <c r="D16" s="6">
        <v>0</v>
      </c>
      <c r="E16" s="6">
        <v>6</v>
      </c>
      <c r="F16" s="6" t="s">
        <v>11</v>
      </c>
      <c r="G16" s="6" t="s">
        <v>12</v>
      </c>
      <c r="H16" s="7" t="s">
        <v>27</v>
      </c>
    </row>
    <row r="17" spans="1:8" x14ac:dyDescent="0.25">
      <c r="A17" s="17" t="s">
        <v>28</v>
      </c>
      <c r="B17" s="18"/>
      <c r="C17" s="18"/>
      <c r="D17" s="18"/>
      <c r="E17" s="18"/>
      <c r="F17" s="18"/>
      <c r="G17" s="18"/>
      <c r="H17" s="18"/>
    </row>
  </sheetData>
  <mergeCells count="8">
    <mergeCell ref="A12:H12"/>
    <mergeCell ref="A17:H17"/>
    <mergeCell ref="A4:A5"/>
    <mergeCell ref="B4:B5"/>
    <mergeCell ref="A1:H1"/>
    <mergeCell ref="A6:H6"/>
    <mergeCell ref="A10:A11"/>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B1CF8-A2C7-4D9B-B9FD-443254A23F5D}">
  <dimension ref="A1:I47"/>
  <sheetViews>
    <sheetView topLeftCell="A28" zoomScaleNormal="100" workbookViewId="0">
      <selection activeCell="A43" sqref="A43:H46"/>
    </sheetView>
  </sheetViews>
  <sheetFormatPr baseColWidth="10" defaultRowHeight="15" x14ac:dyDescent="0.25"/>
  <cols>
    <col min="1" max="1" width="13.5703125" customWidth="1"/>
    <col min="3" max="3" width="24.85546875" customWidth="1"/>
    <col min="8" max="8" width="73.7109375" customWidth="1"/>
  </cols>
  <sheetData>
    <row r="1" spans="1:9" ht="20.25" thickBot="1" x14ac:dyDescent="0.35">
      <c r="A1" s="20" t="s">
        <v>29</v>
      </c>
      <c r="B1" s="20"/>
      <c r="C1" s="20"/>
      <c r="D1" s="20"/>
      <c r="E1" s="20"/>
      <c r="F1" s="20"/>
      <c r="G1" s="20"/>
      <c r="H1" s="20"/>
    </row>
    <row r="2" spans="1:9" ht="16.5" thickTop="1" thickBot="1" x14ac:dyDescent="0.3"/>
    <row r="3" spans="1:9" ht="15.75" thickTop="1" x14ac:dyDescent="0.25">
      <c r="A3" s="4" t="s">
        <v>16</v>
      </c>
      <c r="B3" s="4" t="s">
        <v>1</v>
      </c>
      <c r="C3" s="4" t="s">
        <v>2</v>
      </c>
      <c r="D3" s="4" t="s">
        <v>3</v>
      </c>
      <c r="E3" s="4" t="s">
        <v>4</v>
      </c>
      <c r="F3" s="4" t="s">
        <v>5</v>
      </c>
      <c r="G3" s="4" t="s">
        <v>6</v>
      </c>
      <c r="H3" s="5" t="s">
        <v>7</v>
      </c>
    </row>
    <row r="4" spans="1:9" ht="75" x14ac:dyDescent="0.25">
      <c r="A4" s="19" t="s">
        <v>30</v>
      </c>
      <c r="B4" s="19" t="s">
        <v>31</v>
      </c>
      <c r="C4" s="8" t="s">
        <v>32</v>
      </c>
      <c r="D4" s="6">
        <v>0</v>
      </c>
      <c r="E4" s="6">
        <v>2</v>
      </c>
      <c r="F4" s="6" t="s">
        <v>11</v>
      </c>
      <c r="G4" s="6" t="s">
        <v>12</v>
      </c>
      <c r="H4" s="7" t="s">
        <v>33</v>
      </c>
      <c r="I4" s="16" t="s">
        <v>108</v>
      </c>
    </row>
    <row r="5" spans="1:9" ht="30" x14ac:dyDescent="0.25">
      <c r="A5" s="19"/>
      <c r="B5" s="19"/>
      <c r="C5" s="8" t="s">
        <v>34</v>
      </c>
      <c r="D5" s="6">
        <v>2</v>
      </c>
      <c r="E5" s="6">
        <v>1</v>
      </c>
      <c r="F5" s="6" t="s">
        <v>11</v>
      </c>
      <c r="G5" s="6" t="s">
        <v>12</v>
      </c>
      <c r="H5" s="7" t="s">
        <v>35</v>
      </c>
    </row>
    <row r="6" spans="1:9" ht="30" x14ac:dyDescent="0.25">
      <c r="A6" s="19"/>
      <c r="B6" s="19"/>
      <c r="C6" s="8" t="s">
        <v>36</v>
      </c>
      <c r="D6" s="6">
        <v>3</v>
      </c>
      <c r="E6" s="6">
        <v>1</v>
      </c>
      <c r="F6" s="6" t="s">
        <v>11</v>
      </c>
      <c r="G6" s="6" t="s">
        <v>12</v>
      </c>
      <c r="H6" s="7" t="s">
        <v>46</v>
      </c>
    </row>
    <row r="7" spans="1:9" ht="30" x14ac:dyDescent="0.25">
      <c r="A7" s="19"/>
      <c r="B7" s="19"/>
      <c r="C7" s="8" t="s">
        <v>37</v>
      </c>
      <c r="D7" s="6">
        <v>4</v>
      </c>
      <c r="E7" s="6">
        <v>1</v>
      </c>
      <c r="F7" s="6" t="s">
        <v>11</v>
      </c>
      <c r="G7" s="6" t="s">
        <v>12</v>
      </c>
      <c r="H7" s="7" t="s">
        <v>47</v>
      </c>
    </row>
    <row r="8" spans="1:9" x14ac:dyDescent="0.25">
      <c r="A8" s="19"/>
      <c r="B8" s="19"/>
      <c r="C8" s="8" t="s">
        <v>38</v>
      </c>
      <c r="D8" s="6">
        <v>8</v>
      </c>
      <c r="E8" s="6">
        <v>8</v>
      </c>
      <c r="F8" s="6" t="s">
        <v>44</v>
      </c>
      <c r="G8" s="6" t="s">
        <v>12</v>
      </c>
      <c r="H8" s="7" t="s">
        <v>48</v>
      </c>
      <c r="I8" s="15" t="s">
        <v>107</v>
      </c>
    </row>
    <row r="9" spans="1:9" ht="45" x14ac:dyDescent="0.25">
      <c r="A9" s="19"/>
      <c r="B9" s="19"/>
      <c r="C9" s="8" t="s">
        <v>39</v>
      </c>
      <c r="D9" s="6">
        <v>16</v>
      </c>
      <c r="E9" s="6">
        <v>8</v>
      </c>
      <c r="F9" s="6" t="s">
        <v>11</v>
      </c>
      <c r="G9" s="6" t="s">
        <v>12</v>
      </c>
      <c r="H9" s="7" t="s">
        <v>49</v>
      </c>
      <c r="I9" s="15"/>
    </row>
    <row r="10" spans="1:9" ht="330" x14ac:dyDescent="0.25">
      <c r="A10" s="19"/>
      <c r="B10" s="19"/>
      <c r="C10" s="8" t="s">
        <v>40</v>
      </c>
      <c r="D10" s="6">
        <v>24</v>
      </c>
      <c r="E10" s="6">
        <v>8</v>
      </c>
      <c r="F10" s="6" t="s">
        <v>11</v>
      </c>
      <c r="G10" s="6" t="s">
        <v>12</v>
      </c>
      <c r="H10" s="7" t="s">
        <v>50</v>
      </c>
      <c r="I10" s="15"/>
    </row>
    <row r="11" spans="1:9" ht="180" x14ac:dyDescent="0.25">
      <c r="A11" s="19"/>
      <c r="B11" s="19"/>
      <c r="C11" s="8" t="s">
        <v>41</v>
      </c>
      <c r="D11" s="6">
        <v>32</v>
      </c>
      <c r="E11" s="6">
        <v>16</v>
      </c>
      <c r="F11" s="6" t="s">
        <v>11</v>
      </c>
      <c r="G11" s="6" t="s">
        <v>45</v>
      </c>
      <c r="H11" s="7" t="s">
        <v>51</v>
      </c>
      <c r="I11" s="15"/>
    </row>
    <row r="12" spans="1:9" ht="30" x14ac:dyDescent="0.25">
      <c r="A12" s="19"/>
      <c r="B12" s="19"/>
      <c r="C12" s="8" t="s">
        <v>42</v>
      </c>
      <c r="D12" s="6">
        <v>48</v>
      </c>
      <c r="E12" s="6">
        <v>1</v>
      </c>
      <c r="F12" s="6" t="s">
        <v>11</v>
      </c>
      <c r="G12" s="6" t="s">
        <v>12</v>
      </c>
      <c r="H12" s="7" t="s">
        <v>52</v>
      </c>
    </row>
    <row r="13" spans="1:9" ht="30" x14ac:dyDescent="0.25">
      <c r="A13" s="19"/>
      <c r="B13" s="19"/>
      <c r="C13" s="8" t="s">
        <v>43</v>
      </c>
      <c r="D13" s="6">
        <v>49</v>
      </c>
      <c r="E13" s="6">
        <v>1</v>
      </c>
      <c r="F13" s="6" t="s">
        <v>11</v>
      </c>
      <c r="G13" s="6" t="s">
        <v>12</v>
      </c>
      <c r="H13" s="7" t="s">
        <v>53</v>
      </c>
    </row>
    <row r="14" spans="1:9" x14ac:dyDescent="0.25">
      <c r="A14" s="17" t="s">
        <v>54</v>
      </c>
      <c r="B14" s="18"/>
      <c r="C14" s="18"/>
      <c r="D14" s="18"/>
      <c r="E14" s="18"/>
      <c r="F14" s="18"/>
      <c r="G14" s="18"/>
      <c r="H14" s="18"/>
    </row>
    <row r="16" spans="1:9" ht="15.75" thickBot="1" x14ac:dyDescent="0.3"/>
    <row r="17" spans="1:8" ht="15.75" thickTop="1" x14ac:dyDescent="0.25">
      <c r="A17" s="4" t="s">
        <v>16</v>
      </c>
      <c r="B17" s="4" t="s">
        <v>1</v>
      </c>
      <c r="C17" s="4" t="s">
        <v>2</v>
      </c>
      <c r="D17" s="4" t="s">
        <v>3</v>
      </c>
      <c r="E17" s="4" t="s">
        <v>4</v>
      </c>
      <c r="F17" s="4" t="s">
        <v>5</v>
      </c>
      <c r="G17" s="4" t="s">
        <v>6</v>
      </c>
      <c r="H17" s="5" t="s">
        <v>7</v>
      </c>
    </row>
    <row r="18" spans="1:8" ht="30" x14ac:dyDescent="0.25">
      <c r="A18" s="19" t="s">
        <v>55</v>
      </c>
      <c r="B18" s="19" t="s">
        <v>56</v>
      </c>
      <c r="C18" s="8" t="s">
        <v>57</v>
      </c>
      <c r="D18" s="6">
        <v>0</v>
      </c>
      <c r="E18" s="6">
        <v>16</v>
      </c>
      <c r="F18" s="6" t="s">
        <v>58</v>
      </c>
      <c r="G18" s="6" t="s">
        <v>12</v>
      </c>
      <c r="H18" s="7" t="s">
        <v>65</v>
      </c>
    </row>
    <row r="19" spans="1:8" ht="60" x14ac:dyDescent="0.25">
      <c r="A19" s="19"/>
      <c r="B19" s="19"/>
      <c r="C19" s="8" t="s">
        <v>59</v>
      </c>
      <c r="D19" s="6">
        <v>16</v>
      </c>
      <c r="E19" s="6">
        <v>16</v>
      </c>
      <c r="F19" s="6" t="s">
        <v>60</v>
      </c>
      <c r="G19" s="6" t="s">
        <v>45</v>
      </c>
      <c r="H19" s="7" t="s">
        <v>66</v>
      </c>
    </row>
    <row r="20" spans="1:8" ht="60" x14ac:dyDescent="0.25">
      <c r="A20" s="19"/>
      <c r="B20" s="19"/>
      <c r="C20" s="8" t="s">
        <v>61</v>
      </c>
      <c r="D20" s="6">
        <v>32</v>
      </c>
      <c r="E20" s="6">
        <v>16</v>
      </c>
      <c r="F20" s="6" t="s">
        <v>62</v>
      </c>
      <c r="G20" s="6" t="s">
        <v>45</v>
      </c>
      <c r="H20" s="7" t="s">
        <v>67</v>
      </c>
    </row>
    <row r="21" spans="1:8" ht="30" x14ac:dyDescent="0.25">
      <c r="A21" s="19"/>
      <c r="B21" s="19"/>
      <c r="C21" s="8" t="s">
        <v>63</v>
      </c>
      <c r="D21" s="6">
        <v>48</v>
      </c>
      <c r="E21" s="6">
        <v>16</v>
      </c>
      <c r="F21" s="6" t="s">
        <v>64</v>
      </c>
      <c r="G21" s="6" t="s">
        <v>12</v>
      </c>
      <c r="H21" s="7" t="s">
        <v>68</v>
      </c>
    </row>
    <row r="22" spans="1:8" x14ac:dyDescent="0.25">
      <c r="A22" s="17"/>
      <c r="B22" s="18"/>
      <c r="C22" s="18"/>
      <c r="D22" s="18"/>
      <c r="E22" s="18"/>
      <c r="F22" s="18"/>
      <c r="G22" s="18"/>
      <c r="H22" s="18"/>
    </row>
    <row r="24" spans="1:8" ht="15.75" thickBot="1" x14ac:dyDescent="0.3"/>
    <row r="25" spans="1:8" ht="15.75" thickTop="1" x14ac:dyDescent="0.25">
      <c r="A25" s="4" t="s">
        <v>16</v>
      </c>
      <c r="B25" s="4" t="s">
        <v>1</v>
      </c>
      <c r="C25" s="4" t="s">
        <v>2</v>
      </c>
      <c r="D25" s="4" t="s">
        <v>3</v>
      </c>
      <c r="E25" s="4" t="s">
        <v>4</v>
      </c>
      <c r="F25" s="4" t="s">
        <v>5</v>
      </c>
      <c r="G25" s="4" t="s">
        <v>6</v>
      </c>
      <c r="H25" s="5" t="s">
        <v>7</v>
      </c>
    </row>
    <row r="26" spans="1:8" ht="60" x14ac:dyDescent="0.25">
      <c r="A26" s="19" t="s">
        <v>69</v>
      </c>
      <c r="B26" s="19" t="s">
        <v>70</v>
      </c>
      <c r="C26" s="8" t="s">
        <v>71</v>
      </c>
      <c r="D26" s="6">
        <v>0</v>
      </c>
      <c r="E26" s="6">
        <v>8</v>
      </c>
      <c r="F26" s="6" t="s">
        <v>75</v>
      </c>
      <c r="G26" s="6" t="s">
        <v>45</v>
      </c>
      <c r="H26" s="7" t="s">
        <v>76</v>
      </c>
    </row>
    <row r="27" spans="1:8" ht="45" x14ac:dyDescent="0.25">
      <c r="A27" s="19"/>
      <c r="B27" s="19"/>
      <c r="C27" s="8" t="s">
        <v>72</v>
      </c>
      <c r="D27" s="6">
        <v>8</v>
      </c>
      <c r="E27" s="6">
        <v>8</v>
      </c>
      <c r="F27" s="6" t="s">
        <v>75</v>
      </c>
      <c r="G27" s="6" t="s">
        <v>12</v>
      </c>
      <c r="H27" s="7" t="s">
        <v>77</v>
      </c>
    </row>
    <row r="28" spans="1:8" ht="45" x14ac:dyDescent="0.25">
      <c r="A28" s="19"/>
      <c r="B28" s="19"/>
      <c r="C28" s="8" t="s">
        <v>73</v>
      </c>
      <c r="D28" s="6">
        <v>16</v>
      </c>
      <c r="E28" s="6">
        <v>8</v>
      </c>
      <c r="F28" s="6" t="s">
        <v>75</v>
      </c>
      <c r="G28" s="6" t="s">
        <v>12</v>
      </c>
      <c r="H28" s="7" t="s">
        <v>78</v>
      </c>
    </row>
    <row r="29" spans="1:8" ht="45" x14ac:dyDescent="0.25">
      <c r="A29" s="19"/>
      <c r="B29" s="19"/>
      <c r="C29" s="8" t="s">
        <v>74</v>
      </c>
      <c r="D29" s="6">
        <v>24</v>
      </c>
      <c r="E29" s="6">
        <v>8</v>
      </c>
      <c r="F29" s="6" t="s">
        <v>75</v>
      </c>
      <c r="G29" s="6" t="s">
        <v>12</v>
      </c>
      <c r="H29" s="7" t="s">
        <v>79</v>
      </c>
    </row>
    <row r="30" spans="1:8" x14ac:dyDescent="0.25">
      <c r="A30" s="17"/>
      <c r="B30" s="18"/>
      <c r="C30" s="18"/>
      <c r="D30" s="18"/>
      <c r="E30" s="18"/>
      <c r="F30" s="18"/>
      <c r="G30" s="18"/>
      <c r="H30" s="18"/>
    </row>
    <row r="32" spans="1:8" ht="15.75" thickBot="1" x14ac:dyDescent="0.3"/>
    <row r="33" spans="1:8" ht="15.75" thickTop="1" x14ac:dyDescent="0.25">
      <c r="A33" s="4" t="s">
        <v>16</v>
      </c>
      <c r="B33" s="4" t="s">
        <v>1</v>
      </c>
      <c r="C33" s="4" t="s">
        <v>2</v>
      </c>
      <c r="D33" s="4" t="s">
        <v>3</v>
      </c>
      <c r="E33" s="4" t="s">
        <v>4</v>
      </c>
      <c r="F33" s="4" t="s">
        <v>5</v>
      </c>
      <c r="G33" s="4" t="s">
        <v>6</v>
      </c>
      <c r="H33" s="5" t="s">
        <v>7</v>
      </c>
    </row>
    <row r="34" spans="1:8" x14ac:dyDescent="0.25">
      <c r="A34" s="19" t="s">
        <v>80</v>
      </c>
      <c r="B34" s="19" t="s">
        <v>56</v>
      </c>
      <c r="C34" s="8" t="s">
        <v>81</v>
      </c>
      <c r="D34" s="6">
        <v>0</v>
      </c>
      <c r="E34" s="6">
        <v>8</v>
      </c>
      <c r="F34" s="6" t="s">
        <v>11</v>
      </c>
      <c r="G34" s="6" t="s">
        <v>12</v>
      </c>
      <c r="H34" s="7" t="s">
        <v>86</v>
      </c>
    </row>
    <row r="35" spans="1:8" x14ac:dyDescent="0.25">
      <c r="A35" s="19"/>
      <c r="B35" s="19"/>
      <c r="C35" s="8" t="s">
        <v>83</v>
      </c>
      <c r="D35" s="6">
        <v>8</v>
      </c>
      <c r="E35" s="6">
        <v>16</v>
      </c>
      <c r="F35" s="6" t="s">
        <v>11</v>
      </c>
      <c r="G35" s="6" t="s">
        <v>12</v>
      </c>
      <c r="H35" s="7" t="s">
        <v>87</v>
      </c>
    </row>
    <row r="36" spans="1:8" x14ac:dyDescent="0.25">
      <c r="A36" s="19"/>
      <c r="B36" s="19"/>
      <c r="C36" s="8" t="s">
        <v>84</v>
      </c>
      <c r="D36" s="6">
        <v>24</v>
      </c>
      <c r="E36" s="6">
        <v>8</v>
      </c>
      <c r="F36" s="6" t="s">
        <v>11</v>
      </c>
      <c r="G36" s="6" t="s">
        <v>45</v>
      </c>
      <c r="H36" s="7" t="s">
        <v>88</v>
      </c>
    </row>
    <row r="37" spans="1:8" x14ac:dyDescent="0.25">
      <c r="A37" s="19"/>
      <c r="B37" s="19"/>
      <c r="C37" s="8" t="s">
        <v>82</v>
      </c>
      <c r="D37" s="6">
        <v>32</v>
      </c>
      <c r="E37" s="6">
        <v>16</v>
      </c>
      <c r="F37" s="6" t="s">
        <v>11</v>
      </c>
      <c r="G37" s="6" t="s">
        <v>12</v>
      </c>
      <c r="H37" s="7" t="s">
        <v>89</v>
      </c>
    </row>
    <row r="38" spans="1:8" x14ac:dyDescent="0.25">
      <c r="A38" s="19"/>
      <c r="B38" s="19"/>
      <c r="C38" s="8" t="s">
        <v>85</v>
      </c>
      <c r="D38" s="6">
        <v>48</v>
      </c>
      <c r="E38" s="6">
        <v>16</v>
      </c>
      <c r="F38" s="6" t="s">
        <v>11</v>
      </c>
      <c r="G38" s="6" t="s">
        <v>12</v>
      </c>
      <c r="H38" s="7" t="s">
        <v>90</v>
      </c>
    </row>
    <row r="39" spans="1:8" ht="15" customHeight="1" x14ac:dyDescent="0.25">
      <c r="A39" s="17" t="s">
        <v>28</v>
      </c>
      <c r="B39" s="18"/>
      <c r="C39" s="18"/>
      <c r="D39" s="18"/>
      <c r="E39" s="18"/>
      <c r="F39" s="18"/>
      <c r="G39" s="18"/>
      <c r="H39" s="18"/>
    </row>
    <row r="41" spans="1:8" ht="15.75" thickBot="1" x14ac:dyDescent="0.3"/>
    <row r="42" spans="1:8" ht="15.75" thickTop="1" x14ac:dyDescent="0.25">
      <c r="A42" s="4" t="s">
        <v>16</v>
      </c>
      <c r="B42" s="4" t="s">
        <v>1</v>
      </c>
      <c r="C42" s="4" t="s">
        <v>2</v>
      </c>
      <c r="D42" s="4" t="s">
        <v>3</v>
      </c>
      <c r="E42" s="4" t="s">
        <v>4</v>
      </c>
      <c r="F42" s="4" t="s">
        <v>5</v>
      </c>
      <c r="G42" s="4" t="s">
        <v>6</v>
      </c>
      <c r="H42" s="5" t="s">
        <v>7</v>
      </c>
    </row>
    <row r="43" spans="1:8" ht="90" x14ac:dyDescent="0.25">
      <c r="A43" s="19" t="s">
        <v>91</v>
      </c>
      <c r="B43" s="19" t="s">
        <v>56</v>
      </c>
      <c r="C43" s="8" t="s">
        <v>92</v>
      </c>
      <c r="D43" s="6">
        <v>0</v>
      </c>
      <c r="E43" s="6">
        <v>8</v>
      </c>
      <c r="F43" s="6" t="s">
        <v>11</v>
      </c>
      <c r="G43" s="6" t="s">
        <v>12</v>
      </c>
      <c r="H43" s="7" t="s">
        <v>93</v>
      </c>
    </row>
    <row r="44" spans="1:8" x14ac:dyDescent="0.25">
      <c r="A44" s="19"/>
      <c r="B44" s="19"/>
      <c r="C44" s="8" t="s">
        <v>94</v>
      </c>
      <c r="D44" s="6">
        <v>8</v>
      </c>
      <c r="E44" s="6">
        <v>4</v>
      </c>
      <c r="F44" s="6" t="s">
        <v>11</v>
      </c>
      <c r="G44" s="6" t="s">
        <v>12</v>
      </c>
      <c r="H44" s="7"/>
    </row>
    <row r="45" spans="1:8" x14ac:dyDescent="0.25">
      <c r="A45" s="19"/>
      <c r="B45" s="19"/>
      <c r="C45" s="8" t="s">
        <v>95</v>
      </c>
      <c r="D45" s="6">
        <v>12</v>
      </c>
      <c r="E45" s="6">
        <v>20</v>
      </c>
      <c r="F45" s="6" t="s">
        <v>11</v>
      </c>
      <c r="G45" s="6" t="s">
        <v>12</v>
      </c>
      <c r="H45" s="7"/>
    </row>
    <row r="46" spans="1:8" x14ac:dyDescent="0.25">
      <c r="A46" s="19"/>
      <c r="B46" s="19"/>
      <c r="C46" s="8" t="s">
        <v>96</v>
      </c>
      <c r="D46" s="6">
        <v>32</v>
      </c>
      <c r="E46" s="6">
        <v>32</v>
      </c>
      <c r="F46" s="6" t="s">
        <v>11</v>
      </c>
      <c r="G46" s="6" t="s">
        <v>12</v>
      </c>
      <c r="H46" s="7"/>
    </row>
    <row r="47" spans="1:8" x14ac:dyDescent="0.25">
      <c r="A47" s="17"/>
      <c r="B47" s="18"/>
      <c r="C47" s="18"/>
      <c r="D47" s="18"/>
      <c r="E47" s="18"/>
      <c r="F47" s="18"/>
      <c r="G47" s="18"/>
      <c r="H47" s="18"/>
    </row>
  </sheetData>
  <mergeCells count="16">
    <mergeCell ref="A1:H1"/>
    <mergeCell ref="A4:A13"/>
    <mergeCell ref="B4:B13"/>
    <mergeCell ref="A14:H14"/>
    <mergeCell ref="A18:A21"/>
    <mergeCell ref="B18:B21"/>
    <mergeCell ref="A39:H39"/>
    <mergeCell ref="A43:A46"/>
    <mergeCell ref="B43:B46"/>
    <mergeCell ref="A47:H47"/>
    <mergeCell ref="A22:H22"/>
    <mergeCell ref="A26:A29"/>
    <mergeCell ref="B26:B29"/>
    <mergeCell ref="A30:H30"/>
    <mergeCell ref="A34:A38"/>
    <mergeCell ref="B34:B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DE4F4-B539-4305-8C96-75FB872BA4D3}">
  <dimension ref="A1:E11"/>
  <sheetViews>
    <sheetView tabSelected="1" workbookViewId="0">
      <selection activeCell="B8" sqref="B8"/>
    </sheetView>
  </sheetViews>
  <sheetFormatPr baseColWidth="10" defaultRowHeight="15" x14ac:dyDescent="0.25"/>
  <cols>
    <col min="1" max="1" width="19.7109375" customWidth="1"/>
    <col min="2" max="2" width="16" customWidth="1"/>
    <col min="3" max="3" width="23.140625" customWidth="1"/>
    <col min="4" max="4" width="17.5703125" customWidth="1"/>
    <col min="5" max="5" width="93.42578125" customWidth="1"/>
  </cols>
  <sheetData>
    <row r="1" spans="1:5" ht="20.25" thickBot="1" x14ac:dyDescent="0.35">
      <c r="A1" s="9" t="s">
        <v>97</v>
      </c>
      <c r="B1" s="9"/>
      <c r="C1" s="9"/>
      <c r="D1" s="9"/>
      <c r="E1" s="9"/>
    </row>
    <row r="2" spans="1:5" ht="16.5" thickTop="1" thickBot="1" x14ac:dyDescent="0.3"/>
    <row r="3" spans="1:5" ht="15.75" thickTop="1" x14ac:dyDescent="0.25">
      <c r="A3" s="4" t="s">
        <v>101</v>
      </c>
      <c r="B3" s="4" t="s">
        <v>100</v>
      </c>
      <c r="C3" s="4" t="s">
        <v>102</v>
      </c>
      <c r="D3" s="4" t="s">
        <v>99</v>
      </c>
    </row>
    <row r="4" spans="1:5" x14ac:dyDescent="0.25">
      <c r="A4" s="10" t="s">
        <v>30</v>
      </c>
      <c r="B4" s="10">
        <v>7</v>
      </c>
      <c r="C4" s="10">
        <v>10</v>
      </c>
      <c r="D4" s="10">
        <f>B4/C4</f>
        <v>0.7</v>
      </c>
      <c r="E4" s="1" t="s">
        <v>104</v>
      </c>
    </row>
    <row r="5" spans="1:5" x14ac:dyDescent="0.25">
      <c r="A5" s="10" t="s">
        <v>55</v>
      </c>
      <c r="B5" s="10">
        <v>8</v>
      </c>
      <c r="C5" s="10">
        <v>1</v>
      </c>
      <c r="D5" s="10">
        <f>B5/C5</f>
        <v>8</v>
      </c>
    </row>
    <row r="6" spans="1:5" x14ac:dyDescent="0.25">
      <c r="A6" s="10" t="s">
        <v>69</v>
      </c>
      <c r="B6" s="10">
        <v>4</v>
      </c>
      <c r="C6" s="10">
        <v>1</v>
      </c>
      <c r="D6" s="10">
        <f>B6/C6</f>
        <v>4</v>
      </c>
    </row>
    <row r="7" spans="1:5" ht="15.75" thickBot="1" x14ac:dyDescent="0.3">
      <c r="A7" s="10" t="s">
        <v>80</v>
      </c>
      <c r="B7" s="10">
        <v>8</v>
      </c>
      <c r="C7" s="10">
        <v>1</v>
      </c>
      <c r="D7" s="11">
        <f>B7/C7</f>
        <v>8</v>
      </c>
      <c r="E7" t="s">
        <v>106</v>
      </c>
    </row>
    <row r="8" spans="1:5" ht="16.5" thickTop="1" thickBot="1" x14ac:dyDescent="0.3">
      <c r="A8" s="2"/>
      <c r="B8" s="2"/>
      <c r="C8" s="3" t="s">
        <v>98</v>
      </c>
      <c r="D8" s="12">
        <f>D7+D6+D5+D4</f>
        <v>20.7</v>
      </c>
    </row>
    <row r="9" spans="1:5" ht="16.5" thickTop="1" thickBot="1" x14ac:dyDescent="0.3">
      <c r="A9" s="2"/>
      <c r="B9" s="2"/>
      <c r="C9" s="3" t="s">
        <v>103</v>
      </c>
      <c r="D9" s="13">
        <f>D8*60</f>
        <v>1242</v>
      </c>
    </row>
    <row r="10" spans="1:5" ht="16.5" thickTop="1" thickBot="1" x14ac:dyDescent="0.3">
      <c r="A10" s="2"/>
      <c r="B10" s="2"/>
      <c r="C10" s="3" t="s">
        <v>105</v>
      </c>
      <c r="D10" s="14">
        <f>(1024/D8)</f>
        <v>49.468599033816425</v>
      </c>
    </row>
    <row r="11" spans="1:5" ht="15.75" thickTop="1" x14ac:dyDescent="0.25">
      <c r="A11" s="2"/>
      <c r="B11" s="2"/>
      <c r="C11" s="2"/>
      <c r="D1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Plataforma &gt; Equipos Epic</vt:lpstr>
      <vt:lpstr>Equipos Epic &gt; Plataforma</vt:lpstr>
      <vt:lpstr>Calculo de tiempos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Logan López</dc:creator>
  <cp:lastModifiedBy>Logan López</cp:lastModifiedBy>
  <dcterms:created xsi:type="dcterms:W3CDTF">2025-10-22T09:37:51Z</dcterms:created>
  <dcterms:modified xsi:type="dcterms:W3CDTF">2025-10-22T15:19:50Z</dcterms:modified>
</cp:coreProperties>
</file>